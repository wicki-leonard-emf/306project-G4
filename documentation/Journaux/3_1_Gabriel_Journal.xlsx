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102"/>
  <workbookPr checkCompatibility="1"/>
  <mc:AlternateContent xmlns:mc="http://schemas.openxmlformats.org/markup-compatibility/2006">
    <mc:Choice Requires="x15">
      <x15ac:absPath xmlns:x15ac="http://schemas.microsoft.com/office/spreadsheetml/2010/11/ac" url="https://eduetatfr-my.sharepoint.com/personal/gabriel_beer_studentfr_ch/Documents/EMF/Informatique EMF/Troisième année/306/306project-G4/documentation/Journaux/"/>
    </mc:Choice>
  </mc:AlternateContent>
  <xr:revisionPtr revIDLastSave="88" documentId="13_ncr:1_{C68E2980-A969-4E78-98D4-6A7237E3E30A}" xr6:coauthVersionLast="47" xr6:coauthVersionMax="47" xr10:uidLastSave="{A46A9F04-BA57-1446-ACFB-6C197C8FD238}"/>
  <bookViews>
    <workbookView xWindow="46980" yWindow="-13680" windowWidth="30240" windowHeight="17680" xr2:uid="{00000000-000D-0000-FFFF-FFFF00000000}"/>
  </bookViews>
  <sheets>
    <sheet name="Journal Gabriel" sheetId="9" r:id="rId1"/>
  </sheets>
  <definedNames>
    <definedName name="_xlnm._FilterDatabase" localSheetId="0" hidden="1">'Journal Gabriel'!$A$5:$HI$5</definedName>
    <definedName name="_xlnm.Print_Titles" localSheetId="0">'Journal Gabriel'!$B:$D,'Journal Gabriel'!$1:$5</definedName>
    <definedName name="_xlnm.Print_Area" localSheetId="0">'Journal Gabriel'!$A$1:$D$84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82" i="9" l="1"/>
  <c r="D75" i="9"/>
  <c r="D68" i="9"/>
  <c r="D61" i="9"/>
  <c r="D54" i="9"/>
  <c r="D47" i="9"/>
  <c r="D40" i="9"/>
  <c r="D33" i="9"/>
  <c r="D25" i="9"/>
  <c r="D18" i="9"/>
  <c r="D11" i="9"/>
  <c r="D84" i="9" l="1"/>
</calcChain>
</file>

<file path=xl/sharedStrings.xml><?xml version="1.0" encoding="utf-8"?>
<sst xmlns="http://schemas.openxmlformats.org/spreadsheetml/2006/main" count="58" uniqueCount="38">
  <si>
    <t>Insérer les lignes au-dessus de celle-ci !</t>
  </si>
  <si>
    <r>
      <t>Projet :</t>
    </r>
    <r>
      <rPr>
        <b/>
        <sz val="14"/>
        <rFont val="Arial"/>
        <family val="2"/>
      </rPr>
      <t xml:space="preserve"> </t>
    </r>
    <r>
      <rPr>
        <sz val="14"/>
        <rFont val="Arial"/>
        <family val="2"/>
      </rPr>
      <t xml:space="preserve">[Titre du projet]      </t>
    </r>
    <r>
      <rPr>
        <sz val="16"/>
        <rFont val="Arial"/>
        <family val="2"/>
      </rPr>
      <t xml:space="preserve">                      </t>
    </r>
  </si>
  <si>
    <t>[Nom Prénom du candidat]</t>
  </si>
  <si>
    <t>Date</t>
  </si>
  <si>
    <t>Travail effectué</t>
  </si>
  <si>
    <t>[H.h]</t>
  </si>
  <si>
    <t>Temps</t>
  </si>
  <si>
    <t>Total &gt;</t>
  </si>
  <si>
    <r>
      <t xml:space="preserve">Réflexion personnelle </t>
    </r>
    <r>
      <rPr>
        <sz val="8"/>
        <rFont val="Calibri"/>
        <family val="2"/>
      </rPr>
      <t>↓↓↓</t>
    </r>
  </si>
  <si>
    <t>[no candidat]</t>
  </si>
  <si>
    <t>Total général &gt;</t>
  </si>
  <si>
    <t>Création DB (neon)</t>
  </si>
  <si>
    <t>Mettre en place l'environnement de développement backend</t>
  </si>
  <si>
    <t>Bon début de projet tout c'est bien passé car c'était des trucs généraux que j'ai déjà fait pleins de fois donc aucune difficultées</t>
  </si>
  <si>
    <t>Mise en place de l'API pour frontend</t>
  </si>
  <si>
    <t>Mise en place de l'endpoint</t>
  </si>
  <si>
    <t>Création  d'un script d'installation auto pour rpi</t>
  </si>
  <si>
    <t>Création d'une image docker pour installer auto</t>
  </si>
  <si>
    <t>Du coté technique tout c'est très bien passé mais j'ai eu de la peine avec la partie scrum qui était pas du tout bien aujourd'hui. Je vais regarder ce soir a la maison pour voir comment améliorer la partie dont je suis responsable en tant que product owner. Je pense que si on arrive avec des userstories bien découpé afin d'avoir de petites taches dans le product backlog ça devrait être pas mal</t>
  </si>
  <si>
    <t>Rdv ortho</t>
  </si>
  <si>
    <t>Fin de la création du script d'installation auto pour les rpi</t>
  </si>
  <si>
    <t>Deploiement du front end et liaisons du back avec le front</t>
  </si>
  <si>
    <t>J'ai eu pas mal de problèmes au niveau du deploiement du front end avec des problèmes de sites inaccessibles mais dans l'ensemble au niveau de scrum les choses rentrent gentiment dans l'ordre et le module devrait bien se finir.</t>
  </si>
  <si>
    <t>Création de la page de login et de la page de register</t>
  </si>
  <si>
    <t>Création du coté backend/db pour le login et register</t>
  </si>
  <si>
    <t>Correction du planning</t>
  </si>
  <si>
    <t>Modification des classes pour que l'on puisse changer le nom de la salle et qu'elle garde ses capteur (id de salle)</t>
  </si>
  <si>
    <t>Création de taches pour le tableau kanban (product owner)</t>
  </si>
  <si>
    <t>Regler problèmes avec la db qui ne marchait plus</t>
  </si>
  <si>
    <t>On a eu pas mal de problèmes avec la db car un membre du groupe avait créer une requete pour afficher un graphique de l'historique mais la requête chargais 10k+ d'enregistrement par refresh et ces refresh étaient automatiquement faits toutes les 30 secondes ce qui fait que l'on a dépassés extremement rapidement la bande passante gratuite par mois il a fallu donc migrer la db et corriger le code qui faisais ces appels inutils. Sinon dans l'ensemble j'ai été efficace et j'ai pris de l'avance sur ce qu'on avait planifié pour le sprint</t>
  </si>
  <si>
    <t>Nettoyage du repo, documentation, résolution de bugs</t>
  </si>
  <si>
    <t>Implémentation de la gestion d'utilisateurs et des notifications</t>
  </si>
  <si>
    <t>Test complet de l'API</t>
  </si>
  <si>
    <t xml:space="preserve">Ce matin j'ai principalement réglé tous les petits détails qui marchaient pas encore tout a fait ce qui fait la différence entre une interface ok et une interface vraiment bien. J'ai également créer un script qui permet a chaque modifs du backend lors du déploiement de tester automatiquement si tous les endpoints de l'api marchent encors. J'ai fini la matinée par documenter tout le travail que j'ai fait durant le sprint. </t>
  </si>
  <si>
    <t>Malade</t>
  </si>
  <si>
    <t xml:space="preserve">Documentation </t>
  </si>
  <si>
    <t>Paufinement de l'interface et résolution des derniers petits bug</t>
  </si>
  <si>
    <t>Pas grand-chose a dire, l'après midi j'étais malade et le matin c'était principalement documenter le projet et préparer la présentation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</si>
</sst>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
    <numFmt numFmtId="165" formatCode="0.0"/>
  </numFmts>
  <fonts count="11" x14ac:knownFonts="1">
    <font>
      <sz val="10"/>
      <name val="Arial"/>
    </font>
    <font>
      <b/>
      <sz val="10"/>
      <name val="Arial"/>
      <family val="2"/>
    </font>
    <font>
      <b/>
      <sz val="14"/>
      <name val="Arial"/>
      <family val="2"/>
    </font>
    <font>
      <sz val="10"/>
      <color rgb="FFFF0000"/>
      <name val="Arial"/>
      <family val="2"/>
    </font>
    <font>
      <sz val="8"/>
      <name val="Arial"/>
      <family val="2"/>
    </font>
    <font>
      <sz val="16"/>
      <name val="Arial"/>
      <family val="2"/>
    </font>
    <font>
      <sz val="14"/>
      <name val="Arial"/>
      <family val="2"/>
    </font>
    <font>
      <b/>
      <sz val="16"/>
      <name val="Arial"/>
      <family val="2"/>
    </font>
    <font>
      <sz val="9"/>
      <name val="Arial"/>
      <family val="2"/>
    </font>
    <font>
      <sz val="8"/>
      <name val="Calibri"/>
      <family val="2"/>
    </font>
    <font>
      <b/>
      <sz val="8"/>
      <name val="Arial"/>
      <family val="2"/>
    </font>
  </fonts>
  <fills count="4">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top style="medium">
        <color indexed="64"/>
      </top>
      <bottom/>
      <diagonal/>
    </border>
    <border>
      <left style="thin">
        <color indexed="64"/>
      </left>
      <right/>
      <top/>
      <bottom style="medium">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style="medium">
        <color indexed="64"/>
      </top>
      <bottom/>
      <diagonal/>
    </border>
    <border>
      <left/>
      <right style="thin">
        <color indexed="64"/>
      </right>
      <top/>
      <bottom style="medium">
        <color indexed="64"/>
      </bottom>
      <diagonal/>
    </border>
    <border>
      <left/>
      <right style="thin">
        <color indexed="64"/>
      </right>
      <top/>
      <bottom style="thin">
        <color indexed="64"/>
      </bottom>
      <diagonal/>
    </border>
    <border>
      <left/>
      <right style="thin">
        <color indexed="64"/>
      </right>
      <top style="thin">
        <color indexed="64"/>
      </top>
      <bottom/>
      <diagonal/>
    </border>
    <border>
      <left/>
      <right/>
      <top/>
      <bottom style="thin">
        <color indexed="64"/>
      </bottom>
      <diagonal/>
    </border>
  </borders>
  <cellStyleXfs count="1">
    <xf numFmtId="0" fontId="0" fillId="0" borderId="0"/>
  </cellStyleXfs>
  <cellXfs count="37">
    <xf numFmtId="0" fontId="0" fillId="0" borderId="0" xfId="0"/>
    <xf numFmtId="0" fontId="0" fillId="0" borderId="0" xfId="0" applyProtection="1">
      <protection locked="0"/>
    </xf>
    <xf numFmtId="0" fontId="4" fillId="3" borderId="10" xfId="0" applyFont="1" applyFill="1" applyBorder="1" applyAlignment="1" applyProtection="1">
      <alignment horizontal="left" vertical="center"/>
      <protection locked="0"/>
    </xf>
    <xf numFmtId="0" fontId="4" fillId="3" borderId="16" xfId="0" applyFont="1" applyFill="1" applyBorder="1" applyAlignment="1" applyProtection="1">
      <alignment horizontal="right" vertical="center"/>
      <protection locked="0"/>
    </xf>
    <xf numFmtId="0" fontId="6" fillId="0" borderId="1" xfId="0" applyFont="1" applyBorder="1" applyAlignment="1" applyProtection="1">
      <alignment horizontal="left"/>
      <protection locked="0"/>
    </xf>
    <xf numFmtId="0" fontId="1" fillId="0" borderId="7" xfId="0" applyFont="1" applyBorder="1" applyAlignment="1" applyProtection="1">
      <alignment horizontal="center"/>
      <protection locked="0"/>
    </xf>
    <xf numFmtId="0" fontId="8" fillId="0" borderId="4" xfId="0" applyFont="1" applyBorder="1" applyAlignment="1" applyProtection="1">
      <alignment horizontal="center"/>
      <protection locked="0"/>
    </xf>
    <xf numFmtId="165" fontId="4" fillId="0" borderId="7" xfId="0" applyNumberFormat="1" applyFont="1" applyBorder="1" applyAlignment="1" applyProtection="1">
      <alignment horizontal="center" vertical="center"/>
      <protection locked="0"/>
    </xf>
    <xf numFmtId="165" fontId="4" fillId="0" borderId="5" xfId="0" applyNumberFormat="1" applyFont="1" applyBorder="1" applyAlignment="1" applyProtection="1">
      <alignment horizontal="center" vertical="center"/>
      <protection locked="0"/>
    </xf>
    <xf numFmtId="165" fontId="4" fillId="0" borderId="1" xfId="0" applyNumberFormat="1" applyFont="1" applyBorder="1" applyAlignment="1" applyProtection="1">
      <alignment horizontal="center" vertical="center"/>
      <protection locked="0"/>
    </xf>
    <xf numFmtId="0" fontId="4" fillId="0" borderId="0" xfId="0" applyFont="1" applyAlignment="1" applyProtection="1">
      <alignment horizontal="left" vertical="top" wrapText="1"/>
      <protection locked="0"/>
    </xf>
    <xf numFmtId="164" fontId="0" fillId="0" borderId="0" xfId="0" applyNumberFormat="1" applyAlignment="1" applyProtection="1">
      <alignment horizontal="center" vertical="center"/>
      <protection locked="0"/>
    </xf>
    <xf numFmtId="165" fontId="10" fillId="0" borderId="1" xfId="0" applyNumberFormat="1" applyFont="1" applyBorder="1" applyAlignment="1" applyProtection="1">
      <alignment horizontal="center" vertical="center"/>
      <protection locked="0"/>
    </xf>
    <xf numFmtId="0" fontId="3" fillId="2" borderId="0" xfId="0" applyFont="1" applyFill="1" applyAlignment="1" applyProtection="1">
      <alignment horizontal="center"/>
      <protection locked="0"/>
    </xf>
    <xf numFmtId="164" fontId="0" fillId="0" borderId="7" xfId="0" applyNumberFormat="1" applyBorder="1" applyAlignment="1" applyProtection="1">
      <alignment horizontal="center" vertical="center"/>
      <protection locked="0"/>
    </xf>
    <xf numFmtId="164" fontId="0" fillId="0" borderId="5" xfId="0" applyNumberFormat="1" applyBorder="1" applyAlignment="1" applyProtection="1">
      <alignment horizontal="center" vertical="center"/>
      <protection locked="0"/>
    </xf>
    <xf numFmtId="164" fontId="0" fillId="0" borderId="2" xfId="0" applyNumberFormat="1" applyBorder="1" applyAlignment="1" applyProtection="1">
      <alignment horizontal="center" vertical="center"/>
      <protection locked="0"/>
    </xf>
    <xf numFmtId="0" fontId="4" fillId="0" borderId="10" xfId="0" applyFont="1" applyBorder="1" applyAlignment="1" applyProtection="1">
      <alignment horizontal="left" vertical="center"/>
      <protection locked="0"/>
    </xf>
    <xf numFmtId="0" fontId="4" fillId="0" borderId="16" xfId="0" applyFont="1" applyBorder="1" applyAlignment="1" applyProtection="1">
      <alignment horizontal="left" vertical="center"/>
      <protection locked="0"/>
    </xf>
    <xf numFmtId="0" fontId="4" fillId="0" borderId="11" xfId="0" applyFont="1" applyBorder="1" applyAlignment="1" applyProtection="1">
      <alignment horizontal="left" vertical="center"/>
      <protection locked="0"/>
    </xf>
    <xf numFmtId="0" fontId="4" fillId="0" borderId="6" xfId="0" applyFont="1" applyBorder="1" applyAlignment="1" applyProtection="1">
      <alignment horizontal="left" vertical="center"/>
      <protection locked="0"/>
    </xf>
    <xf numFmtId="0" fontId="4" fillId="0" borderId="12" xfId="0" applyFont="1" applyBorder="1" applyAlignment="1" applyProtection="1">
      <alignment horizontal="left" vertical="top" wrapText="1"/>
      <protection locked="0"/>
    </xf>
    <xf numFmtId="0" fontId="4" fillId="0" borderId="17" xfId="0" applyFont="1" applyBorder="1" applyAlignment="1" applyProtection="1">
      <alignment horizontal="left" vertical="top" wrapText="1"/>
      <protection locked="0"/>
    </xf>
    <xf numFmtId="0" fontId="4" fillId="0" borderId="15" xfId="0" applyFont="1" applyBorder="1" applyAlignment="1" applyProtection="1">
      <alignment horizontal="left" vertical="top" wrapText="1"/>
      <protection locked="0"/>
    </xf>
    <xf numFmtId="0" fontId="4" fillId="0" borderId="11" xfId="0" applyFont="1" applyBorder="1" applyAlignment="1" applyProtection="1">
      <alignment horizontal="left" vertical="top" wrapText="1"/>
      <protection locked="0"/>
    </xf>
    <xf numFmtId="0" fontId="4" fillId="0" borderId="0" xfId="0" applyFont="1" applyAlignment="1" applyProtection="1">
      <alignment horizontal="left" vertical="top" wrapText="1"/>
      <protection locked="0"/>
    </xf>
    <xf numFmtId="0" fontId="4" fillId="0" borderId="6" xfId="0" applyFont="1" applyBorder="1" applyAlignment="1" applyProtection="1">
      <alignment horizontal="left" vertical="top" wrapText="1"/>
      <protection locked="0"/>
    </xf>
    <xf numFmtId="0" fontId="7" fillId="0" borderId="0" xfId="0" applyFont="1" applyAlignment="1" applyProtection="1">
      <alignment horizontal="left"/>
      <protection locked="0"/>
    </xf>
    <xf numFmtId="0" fontId="6" fillId="0" borderId="0" xfId="0" applyFont="1" applyAlignment="1" applyProtection="1">
      <alignment horizontal="left"/>
      <protection locked="0"/>
    </xf>
    <xf numFmtId="0" fontId="6" fillId="0" borderId="6" xfId="0" applyFont="1" applyBorder="1" applyAlignment="1" applyProtection="1">
      <alignment horizontal="left"/>
      <protection locked="0"/>
    </xf>
    <xf numFmtId="0" fontId="1" fillId="0" borderId="10" xfId="0" applyFont="1" applyBorder="1" applyAlignment="1" applyProtection="1">
      <alignment horizontal="left" vertical="center"/>
      <protection locked="0"/>
    </xf>
    <xf numFmtId="0" fontId="1" fillId="0" borderId="9" xfId="0" applyFont="1" applyBorder="1" applyAlignment="1" applyProtection="1">
      <alignment horizontal="left" vertical="center"/>
      <protection locked="0"/>
    </xf>
    <xf numFmtId="0" fontId="1" fillId="0" borderId="16" xfId="0" applyFont="1" applyBorder="1" applyAlignment="1" applyProtection="1">
      <alignment horizontal="left" vertical="center"/>
      <protection locked="0"/>
    </xf>
    <xf numFmtId="0" fontId="1" fillId="0" borderId="14" xfId="0" applyFont="1" applyBorder="1" applyAlignment="1" applyProtection="1">
      <alignment horizontal="left" vertical="center"/>
      <protection locked="0"/>
    </xf>
    <xf numFmtId="164" fontId="0" fillId="0" borderId="3" xfId="0" applyNumberFormat="1" applyBorder="1" applyAlignment="1" applyProtection="1">
      <alignment horizontal="center" vertical="center"/>
      <protection locked="0"/>
    </xf>
    <xf numFmtId="0" fontId="4" fillId="0" borderId="8" xfId="0" applyFont="1" applyBorder="1" applyAlignment="1" applyProtection="1">
      <alignment horizontal="left" vertical="center" wrapText="1"/>
      <protection locked="0"/>
    </xf>
    <xf numFmtId="0" fontId="4" fillId="0" borderId="13" xfId="0" applyFont="1" applyBorder="1" applyAlignment="1" applyProtection="1">
      <alignment horizontal="left" vertical="center"/>
      <protection locked="0"/>
    </xf>
  </cellXfs>
  <cellStyles count="1">
    <cellStyle name="Normal" xfId="0" builtinId="0"/>
  </cellStyles>
  <dxfs count="22">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styles" Target="style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 Id="rId9" Type="http://schemas.openxmlformats.org/officeDocument/2006/relationships/customXml" Target="../customXml/item3.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F555984-E0BB-7747-9283-69BC553963EF}">
  <we:reference id="wa200009404" version="1.0.0.4" store="fr-FR" storeType="OMEX"/>
  <we:alternateReferences>
    <we:reference id="wa200009404" version="1.0.0.4" store="" storeType="OMEX"/>
  </we:alternateReferences>
  <we:properties>
    <we:property name="Office.AutoShowTaskpaneWithDocument" value="true"/>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1094A1-2086-4124-85CF-EAAE0115819F}">
  <dimension ref="A1:D85"/>
  <sheetViews>
    <sheetView tabSelected="1" zoomScale="208" zoomScaleNormal="115" zoomScaleSheetLayoutView="115" workbookViewId="0">
      <pane ySplit="1" topLeftCell="A36" activePane="bottomLeft"/>
      <selection activeCell="A5" sqref="A5:XFD5"/>
      <selection pane="bottomLeft" activeCell="E48" sqref="E48"/>
    </sheetView>
  </sheetViews>
  <sheetFormatPr baseColWidth="10" defaultColWidth="11.5" defaultRowHeight="13" x14ac:dyDescent="0.15"/>
  <cols>
    <col min="1" max="1" width="11.5" style="1"/>
    <col min="2" max="3" width="31.6640625" style="1" customWidth="1"/>
    <col min="4" max="4" width="15.6640625" style="1" customWidth="1"/>
    <col min="5" max="217" width="9.1640625" style="1" customWidth="1"/>
    <col min="218" max="16384" width="11.5" style="1"/>
  </cols>
  <sheetData>
    <row r="1" spans="1:4" ht="20" x14ac:dyDescent="0.2">
      <c r="A1" s="27" t="s">
        <v>1</v>
      </c>
      <c r="B1" s="27"/>
      <c r="C1" s="27"/>
      <c r="D1" s="27"/>
    </row>
    <row r="2" spans="1:4" ht="18" x14ac:dyDescent="0.2">
      <c r="A2" s="28" t="s">
        <v>2</v>
      </c>
      <c r="B2" s="28"/>
      <c r="C2" s="29"/>
      <c r="D2" s="4" t="s">
        <v>9</v>
      </c>
    </row>
    <row r="4" spans="1:4" ht="12" customHeight="1" x14ac:dyDescent="0.15">
      <c r="A4" s="30" t="s">
        <v>3</v>
      </c>
      <c r="B4" s="30" t="s">
        <v>4</v>
      </c>
      <c r="C4" s="32"/>
      <c r="D4" s="5" t="s">
        <v>6</v>
      </c>
    </row>
    <row r="5" spans="1:4" ht="14" thickBot="1" x14ac:dyDescent="0.2">
      <c r="A5" s="31"/>
      <c r="B5" s="31"/>
      <c r="C5" s="33"/>
      <c r="D5" s="6" t="s">
        <v>5</v>
      </c>
    </row>
    <row r="6" spans="1:4" ht="12.75" customHeight="1" x14ac:dyDescent="0.15">
      <c r="A6" s="34">
        <v>46000</v>
      </c>
      <c r="B6" s="35" t="s">
        <v>12</v>
      </c>
      <c r="C6" s="36"/>
      <c r="D6" s="7">
        <v>2</v>
      </c>
    </row>
    <row r="7" spans="1:4" x14ac:dyDescent="0.15">
      <c r="A7" s="15"/>
      <c r="B7" s="19" t="s">
        <v>11</v>
      </c>
      <c r="C7" s="20"/>
      <c r="D7" s="8">
        <v>1</v>
      </c>
    </row>
    <row r="8" spans="1:4" x14ac:dyDescent="0.15">
      <c r="A8" s="15"/>
      <c r="B8" s="19"/>
      <c r="C8" s="20"/>
      <c r="D8" s="8"/>
    </row>
    <row r="9" spans="1:4" x14ac:dyDescent="0.15">
      <c r="A9" s="15"/>
      <c r="B9" s="19"/>
      <c r="C9" s="20"/>
      <c r="D9" s="8"/>
    </row>
    <row r="10" spans="1:4" x14ac:dyDescent="0.15">
      <c r="A10" s="15"/>
      <c r="B10" s="19"/>
      <c r="C10" s="20"/>
      <c r="D10" s="8"/>
    </row>
    <row r="11" spans="1:4" x14ac:dyDescent="0.15">
      <c r="A11" s="15"/>
      <c r="B11" s="2" t="s">
        <v>8</v>
      </c>
      <c r="C11" s="3" t="s">
        <v>7</v>
      </c>
      <c r="D11" s="9">
        <f>SUM(D6:D10)</f>
        <v>3</v>
      </c>
    </row>
    <row r="12" spans="1:4" ht="25" customHeight="1" x14ac:dyDescent="0.15">
      <c r="A12" s="15"/>
      <c r="B12" s="24" t="s">
        <v>13</v>
      </c>
      <c r="C12" s="25"/>
      <c r="D12" s="26"/>
    </row>
    <row r="13" spans="1:4" ht="12.75" customHeight="1" x14ac:dyDescent="0.15">
      <c r="A13" s="14">
        <v>46006</v>
      </c>
      <c r="B13" s="17" t="s">
        <v>14</v>
      </c>
      <c r="C13" s="18"/>
      <c r="D13" s="7">
        <v>3</v>
      </c>
    </row>
    <row r="14" spans="1:4" x14ac:dyDescent="0.15">
      <c r="A14" s="15"/>
      <c r="B14" s="19" t="s">
        <v>15</v>
      </c>
      <c r="C14" s="20"/>
      <c r="D14" s="8">
        <v>2</v>
      </c>
    </row>
    <row r="15" spans="1:4" x14ac:dyDescent="0.15">
      <c r="A15" s="15"/>
      <c r="B15" s="19" t="s">
        <v>16</v>
      </c>
      <c r="C15" s="20"/>
      <c r="D15" s="8">
        <v>2</v>
      </c>
    </row>
    <row r="16" spans="1:4" x14ac:dyDescent="0.15">
      <c r="A16" s="15"/>
      <c r="B16" s="19" t="s">
        <v>17</v>
      </c>
      <c r="C16" s="20"/>
      <c r="D16" s="8">
        <v>1</v>
      </c>
    </row>
    <row r="17" spans="1:4" x14ac:dyDescent="0.15">
      <c r="A17" s="15"/>
      <c r="B17" s="19"/>
      <c r="C17" s="20"/>
      <c r="D17" s="8"/>
    </row>
    <row r="18" spans="1:4" x14ac:dyDescent="0.15">
      <c r="A18" s="15"/>
      <c r="B18" s="2" t="s">
        <v>8</v>
      </c>
      <c r="C18" s="3" t="s">
        <v>7</v>
      </c>
      <c r="D18" s="9">
        <f>SUM(D13:D17)</f>
        <v>8</v>
      </c>
    </row>
    <row r="19" spans="1:4" ht="45" customHeight="1" x14ac:dyDescent="0.15">
      <c r="A19" s="15"/>
      <c r="B19" s="24" t="s">
        <v>18</v>
      </c>
      <c r="C19" s="25"/>
      <c r="D19" s="26"/>
    </row>
    <row r="20" spans="1:4" ht="12.75" customHeight="1" x14ac:dyDescent="0.15">
      <c r="A20" s="14">
        <v>46007</v>
      </c>
      <c r="B20" s="17" t="s">
        <v>20</v>
      </c>
      <c r="C20" s="18"/>
      <c r="D20" s="7">
        <v>1</v>
      </c>
    </row>
    <row r="21" spans="1:4" x14ac:dyDescent="0.15">
      <c r="A21" s="15"/>
      <c r="B21" s="19" t="s">
        <v>21</v>
      </c>
      <c r="C21" s="20"/>
      <c r="D21" s="8">
        <v>2</v>
      </c>
    </row>
    <row r="22" spans="1:4" x14ac:dyDescent="0.15">
      <c r="A22" s="15"/>
      <c r="B22" s="19" t="s">
        <v>19</v>
      </c>
      <c r="C22" s="20"/>
      <c r="D22" s="8">
        <v>1</v>
      </c>
    </row>
    <row r="23" spans="1:4" x14ac:dyDescent="0.15">
      <c r="A23" s="15"/>
      <c r="B23" s="19"/>
      <c r="C23" s="20"/>
      <c r="D23" s="8"/>
    </row>
    <row r="24" spans="1:4" x14ac:dyDescent="0.15">
      <c r="A24" s="15"/>
      <c r="B24" s="19"/>
      <c r="C24" s="20"/>
      <c r="D24" s="8"/>
    </row>
    <row r="25" spans="1:4" x14ac:dyDescent="0.15">
      <c r="A25" s="15"/>
      <c r="B25" s="2" t="s">
        <v>8</v>
      </c>
      <c r="C25" s="3" t="s">
        <v>7</v>
      </c>
      <c r="D25" s="9">
        <f>SUM(D20:D24)</f>
        <v>4</v>
      </c>
    </row>
    <row r="26" spans="1:4" ht="25" customHeight="1" x14ac:dyDescent="0.15">
      <c r="A26" s="15"/>
      <c r="B26" s="24" t="s">
        <v>22</v>
      </c>
      <c r="C26" s="25"/>
      <c r="D26" s="26"/>
    </row>
    <row r="27" spans="1:4" ht="12.75" customHeight="1" x14ac:dyDescent="0.15">
      <c r="A27" s="14">
        <v>46027</v>
      </c>
      <c r="B27" s="17" t="s">
        <v>23</v>
      </c>
      <c r="C27" s="18"/>
      <c r="D27" s="7">
        <v>1.5</v>
      </c>
    </row>
    <row r="28" spans="1:4" x14ac:dyDescent="0.15">
      <c r="A28" s="15"/>
      <c r="B28" s="19" t="s">
        <v>24</v>
      </c>
      <c r="C28" s="20"/>
      <c r="D28" s="8">
        <v>1.5</v>
      </c>
    </row>
    <row r="29" spans="1:4" x14ac:dyDescent="0.15">
      <c r="A29" s="15"/>
      <c r="B29" s="19" t="s">
        <v>25</v>
      </c>
      <c r="C29" s="20"/>
      <c r="D29" s="8">
        <v>1</v>
      </c>
    </row>
    <row r="30" spans="1:4" x14ac:dyDescent="0.15">
      <c r="A30" s="15"/>
      <c r="B30" s="19" t="s">
        <v>26</v>
      </c>
      <c r="C30" s="20"/>
      <c r="D30" s="8">
        <v>1</v>
      </c>
    </row>
    <row r="31" spans="1:4" x14ac:dyDescent="0.15">
      <c r="A31" s="15"/>
      <c r="B31" s="19" t="s">
        <v>28</v>
      </c>
      <c r="C31" s="20"/>
      <c r="D31" s="8">
        <v>2</v>
      </c>
    </row>
    <row r="32" spans="1:4" x14ac:dyDescent="0.15">
      <c r="A32" s="15"/>
      <c r="B32" s="19" t="s">
        <v>27</v>
      </c>
      <c r="C32" s="20"/>
      <c r="D32" s="8">
        <v>1</v>
      </c>
    </row>
    <row r="33" spans="1:4" x14ac:dyDescent="0.15">
      <c r="A33" s="15"/>
      <c r="B33" s="2" t="s">
        <v>8</v>
      </c>
      <c r="C33" s="3" t="s">
        <v>7</v>
      </c>
      <c r="D33" s="9">
        <f>SUM(D27:D32)</f>
        <v>8</v>
      </c>
    </row>
    <row r="34" spans="1:4" ht="25" customHeight="1" x14ac:dyDescent="0.15">
      <c r="A34" s="16"/>
      <c r="B34" s="21" t="s">
        <v>29</v>
      </c>
      <c r="C34" s="22"/>
      <c r="D34" s="23"/>
    </row>
    <row r="35" spans="1:4" ht="12.75" customHeight="1" x14ac:dyDescent="0.15">
      <c r="A35" s="14">
        <v>46028</v>
      </c>
      <c r="B35" s="17" t="s">
        <v>30</v>
      </c>
      <c r="C35" s="18"/>
      <c r="D35" s="7">
        <v>2</v>
      </c>
    </row>
    <row r="36" spans="1:4" x14ac:dyDescent="0.15">
      <c r="A36" s="15"/>
      <c r="B36" s="19" t="s">
        <v>31</v>
      </c>
      <c r="C36" s="20"/>
      <c r="D36" s="8">
        <v>1</v>
      </c>
    </row>
    <row r="37" spans="1:4" x14ac:dyDescent="0.15">
      <c r="A37" s="15"/>
      <c r="B37" s="19" t="s">
        <v>32</v>
      </c>
      <c r="C37" s="20"/>
      <c r="D37" s="8">
        <v>1</v>
      </c>
    </row>
    <row r="38" spans="1:4" x14ac:dyDescent="0.15">
      <c r="A38" s="15"/>
      <c r="B38" s="19"/>
      <c r="C38" s="20"/>
      <c r="D38" s="8"/>
    </row>
    <row r="39" spans="1:4" x14ac:dyDescent="0.15">
      <c r="A39" s="15"/>
      <c r="B39" s="19"/>
      <c r="C39" s="20"/>
      <c r="D39" s="8"/>
    </row>
    <row r="40" spans="1:4" x14ac:dyDescent="0.15">
      <c r="A40" s="15"/>
      <c r="B40" s="2" t="s">
        <v>8</v>
      </c>
      <c r="C40" s="3" t="s">
        <v>7</v>
      </c>
      <c r="D40" s="9">
        <f>SUM(D35:D39)</f>
        <v>4</v>
      </c>
    </row>
    <row r="41" spans="1:4" ht="25" customHeight="1" x14ac:dyDescent="0.15">
      <c r="A41" s="16"/>
      <c r="B41" s="21" t="s">
        <v>33</v>
      </c>
      <c r="C41" s="22"/>
      <c r="D41" s="23"/>
    </row>
    <row r="42" spans="1:4" ht="12.75" customHeight="1" x14ac:dyDescent="0.15">
      <c r="A42" s="14">
        <v>46034</v>
      </c>
      <c r="B42" s="17" t="s">
        <v>35</v>
      </c>
      <c r="C42" s="18"/>
      <c r="D42" s="7">
        <v>3</v>
      </c>
    </row>
    <row r="43" spans="1:4" x14ac:dyDescent="0.15">
      <c r="A43" s="15"/>
      <c r="B43" s="19" t="s">
        <v>36</v>
      </c>
      <c r="C43" s="20"/>
      <c r="D43" s="8">
        <v>1</v>
      </c>
    </row>
    <row r="44" spans="1:4" x14ac:dyDescent="0.15">
      <c r="A44" s="15"/>
      <c r="B44" s="19" t="s">
        <v>34</v>
      </c>
      <c r="C44" s="20"/>
      <c r="D44" s="8">
        <v>4</v>
      </c>
    </row>
    <row r="45" spans="1:4" x14ac:dyDescent="0.15">
      <c r="A45" s="15"/>
      <c r="B45" s="19"/>
      <c r="C45" s="20"/>
    </row>
    <row r="46" spans="1:4" x14ac:dyDescent="0.15">
      <c r="A46" s="15"/>
      <c r="B46" s="19"/>
      <c r="C46" s="20"/>
      <c r="D46" s="8"/>
    </row>
    <row r="47" spans="1:4" x14ac:dyDescent="0.15">
      <c r="A47" s="15"/>
      <c r="B47" s="2" t="s">
        <v>8</v>
      </c>
      <c r="C47" s="3" t="s">
        <v>7</v>
      </c>
      <c r="D47" s="9">
        <f>SUM(D42:D46)</f>
        <v>8</v>
      </c>
    </row>
    <row r="48" spans="1:4" ht="25" customHeight="1" x14ac:dyDescent="0.15">
      <c r="A48" s="16"/>
      <c r="B48" s="21" t="s">
        <v>37</v>
      </c>
      <c r="C48" s="22"/>
      <c r="D48" s="23"/>
    </row>
    <row r="49" spans="1:4" ht="12.75" customHeight="1" x14ac:dyDescent="0.15">
      <c r="A49" s="14"/>
      <c r="B49" s="17"/>
      <c r="C49" s="18"/>
      <c r="D49" s="7"/>
    </row>
    <row r="50" spans="1:4" x14ac:dyDescent="0.15">
      <c r="A50" s="15"/>
      <c r="B50" s="19"/>
      <c r="C50" s="20"/>
      <c r="D50" s="8"/>
    </row>
    <row r="51" spans="1:4" x14ac:dyDescent="0.15">
      <c r="A51" s="15"/>
      <c r="B51" s="19"/>
      <c r="C51" s="20"/>
      <c r="D51" s="8"/>
    </row>
    <row r="52" spans="1:4" x14ac:dyDescent="0.15">
      <c r="A52" s="15"/>
      <c r="B52" s="19"/>
      <c r="C52" s="20"/>
      <c r="D52" s="8"/>
    </row>
    <row r="53" spans="1:4" x14ac:dyDescent="0.15">
      <c r="A53" s="15"/>
      <c r="B53" s="19"/>
      <c r="C53" s="20"/>
      <c r="D53" s="8"/>
    </row>
    <row r="54" spans="1:4" x14ac:dyDescent="0.15">
      <c r="A54" s="15"/>
      <c r="B54" s="2" t="s">
        <v>8</v>
      </c>
      <c r="C54" s="3" t="s">
        <v>7</v>
      </c>
      <c r="D54" s="9">
        <f>SUM(D49:D53)</f>
        <v>0</v>
      </c>
    </row>
    <row r="55" spans="1:4" ht="25" customHeight="1" x14ac:dyDescent="0.15">
      <c r="A55" s="16"/>
      <c r="B55" s="21"/>
      <c r="C55" s="22"/>
      <c r="D55" s="23"/>
    </row>
    <row r="56" spans="1:4" ht="12.75" customHeight="1" x14ac:dyDescent="0.15">
      <c r="A56" s="14"/>
      <c r="B56" s="17"/>
      <c r="C56" s="18"/>
      <c r="D56" s="7"/>
    </row>
    <row r="57" spans="1:4" x14ac:dyDescent="0.15">
      <c r="A57" s="15"/>
      <c r="B57" s="19"/>
      <c r="C57" s="20"/>
      <c r="D57" s="8"/>
    </row>
    <row r="58" spans="1:4" x14ac:dyDescent="0.15">
      <c r="A58" s="15"/>
      <c r="B58" s="19"/>
      <c r="C58" s="20"/>
      <c r="D58" s="8"/>
    </row>
    <row r="59" spans="1:4" x14ac:dyDescent="0.15">
      <c r="A59" s="15"/>
      <c r="B59" s="19"/>
      <c r="C59" s="20"/>
      <c r="D59" s="8"/>
    </row>
    <row r="60" spans="1:4" x14ac:dyDescent="0.15">
      <c r="A60" s="15"/>
      <c r="B60" s="19"/>
      <c r="C60" s="20"/>
      <c r="D60" s="8"/>
    </row>
    <row r="61" spans="1:4" x14ac:dyDescent="0.15">
      <c r="A61" s="15"/>
      <c r="B61" s="2" t="s">
        <v>8</v>
      </c>
      <c r="C61" s="3" t="s">
        <v>7</v>
      </c>
      <c r="D61" s="9">
        <f>SUM(D56:D60)</f>
        <v>0</v>
      </c>
    </row>
    <row r="62" spans="1:4" ht="25" customHeight="1" x14ac:dyDescent="0.15">
      <c r="A62" s="16"/>
      <c r="B62" s="21"/>
      <c r="C62" s="22"/>
      <c r="D62" s="23"/>
    </row>
    <row r="63" spans="1:4" ht="12.75" customHeight="1" x14ac:dyDescent="0.15">
      <c r="A63" s="14"/>
      <c r="B63" s="17"/>
      <c r="C63" s="18"/>
      <c r="D63" s="7"/>
    </row>
    <row r="64" spans="1:4" x14ac:dyDescent="0.15">
      <c r="A64" s="15"/>
      <c r="B64" s="19"/>
      <c r="C64" s="20"/>
      <c r="D64" s="8"/>
    </row>
    <row r="65" spans="1:4" x14ac:dyDescent="0.15">
      <c r="A65" s="15"/>
      <c r="B65" s="19"/>
      <c r="C65" s="20"/>
      <c r="D65" s="8"/>
    </row>
    <row r="66" spans="1:4" x14ac:dyDescent="0.15">
      <c r="A66" s="15"/>
      <c r="B66" s="19"/>
      <c r="C66" s="20"/>
      <c r="D66" s="8"/>
    </row>
    <row r="67" spans="1:4" x14ac:dyDescent="0.15">
      <c r="A67" s="15"/>
      <c r="B67" s="19"/>
      <c r="C67" s="20"/>
      <c r="D67" s="8"/>
    </row>
    <row r="68" spans="1:4" x14ac:dyDescent="0.15">
      <c r="A68" s="15"/>
      <c r="B68" s="2" t="s">
        <v>8</v>
      </c>
      <c r="C68" s="3" t="s">
        <v>7</v>
      </c>
      <c r="D68" s="9">
        <f>SUM(D63:D67)</f>
        <v>0</v>
      </c>
    </row>
    <row r="69" spans="1:4" ht="25" customHeight="1" x14ac:dyDescent="0.15">
      <c r="A69" s="15"/>
      <c r="B69" s="24"/>
      <c r="C69" s="25"/>
      <c r="D69" s="26"/>
    </row>
    <row r="70" spans="1:4" ht="12.75" customHeight="1" x14ac:dyDescent="0.15">
      <c r="A70" s="14"/>
      <c r="B70" s="17"/>
      <c r="C70" s="18"/>
      <c r="D70" s="7"/>
    </row>
    <row r="71" spans="1:4" x14ac:dyDescent="0.15">
      <c r="A71" s="15"/>
      <c r="B71" s="19"/>
      <c r="C71" s="20"/>
      <c r="D71" s="8"/>
    </row>
    <row r="72" spans="1:4" x14ac:dyDescent="0.15">
      <c r="A72" s="15"/>
      <c r="B72" s="19"/>
      <c r="C72" s="20"/>
      <c r="D72" s="8"/>
    </row>
    <row r="73" spans="1:4" x14ac:dyDescent="0.15">
      <c r="A73" s="15"/>
      <c r="B73" s="19"/>
      <c r="C73" s="20"/>
      <c r="D73" s="8"/>
    </row>
    <row r="74" spans="1:4" x14ac:dyDescent="0.15">
      <c r="A74" s="15"/>
      <c r="B74" s="19"/>
      <c r="C74" s="20"/>
      <c r="D74" s="8"/>
    </row>
    <row r="75" spans="1:4" x14ac:dyDescent="0.15">
      <c r="A75" s="15"/>
      <c r="B75" s="2" t="s">
        <v>8</v>
      </c>
      <c r="C75" s="3" t="s">
        <v>7</v>
      </c>
      <c r="D75" s="9">
        <f>SUM(D70:D74)</f>
        <v>0</v>
      </c>
    </row>
    <row r="76" spans="1:4" ht="25" customHeight="1" x14ac:dyDescent="0.15">
      <c r="A76" s="16"/>
      <c r="B76" s="21"/>
      <c r="C76" s="22"/>
      <c r="D76" s="23"/>
    </row>
    <row r="77" spans="1:4" ht="12.75" customHeight="1" x14ac:dyDescent="0.15">
      <c r="A77" s="14"/>
      <c r="B77" s="17"/>
      <c r="C77" s="18"/>
      <c r="D77" s="7"/>
    </row>
    <row r="78" spans="1:4" x14ac:dyDescent="0.15">
      <c r="A78" s="15"/>
      <c r="B78" s="19"/>
      <c r="C78" s="20"/>
      <c r="D78" s="8"/>
    </row>
    <row r="79" spans="1:4" x14ac:dyDescent="0.15">
      <c r="A79" s="15"/>
      <c r="B79" s="19"/>
      <c r="C79" s="20"/>
      <c r="D79" s="8"/>
    </row>
    <row r="80" spans="1:4" x14ac:dyDescent="0.15">
      <c r="A80" s="15"/>
      <c r="B80" s="19"/>
      <c r="C80" s="20"/>
      <c r="D80" s="8"/>
    </row>
    <row r="81" spans="1:4" x14ac:dyDescent="0.15">
      <c r="A81" s="15"/>
      <c r="B81" s="19"/>
      <c r="C81" s="20"/>
      <c r="D81" s="8"/>
    </row>
    <row r="82" spans="1:4" x14ac:dyDescent="0.15">
      <c r="A82" s="15"/>
      <c r="B82" s="2" t="s">
        <v>8</v>
      </c>
      <c r="C82" s="3" t="s">
        <v>7</v>
      </c>
      <c r="D82" s="9">
        <f>SUM(D77:D81)</f>
        <v>0</v>
      </c>
    </row>
    <row r="83" spans="1:4" ht="25" customHeight="1" x14ac:dyDescent="0.15">
      <c r="A83" s="16"/>
      <c r="B83" s="21"/>
      <c r="C83" s="22"/>
      <c r="D83" s="23"/>
    </row>
    <row r="84" spans="1:4" ht="12" customHeight="1" x14ac:dyDescent="0.15">
      <c r="A84" s="11"/>
      <c r="B84" s="10"/>
      <c r="C84" s="3" t="s">
        <v>10</v>
      </c>
      <c r="D84" s="12">
        <f>D11+D18+D25+D33+D40+D47+D54+D61+D68+D75+D82</f>
        <v>35</v>
      </c>
    </row>
    <row r="85" spans="1:4" x14ac:dyDescent="0.15">
      <c r="A85" s="13" t="s">
        <v>0</v>
      </c>
      <c r="B85" s="13"/>
      <c r="C85" s="13"/>
      <c r="D85" s="13"/>
    </row>
  </sheetData>
  <mergeCells count="83">
    <mergeCell ref="A1:D1"/>
    <mergeCell ref="A2:C2"/>
    <mergeCell ref="A4:A5"/>
    <mergeCell ref="B4:C5"/>
    <mergeCell ref="A6:A12"/>
    <mergeCell ref="B6:C6"/>
    <mergeCell ref="B7:C7"/>
    <mergeCell ref="B8:C8"/>
    <mergeCell ref="B9:C9"/>
    <mergeCell ref="B10:C10"/>
    <mergeCell ref="B12:D12"/>
    <mergeCell ref="A13:A19"/>
    <mergeCell ref="B13:C13"/>
    <mergeCell ref="B14:C14"/>
    <mergeCell ref="B15:C15"/>
    <mergeCell ref="B16:C16"/>
    <mergeCell ref="B17:C17"/>
    <mergeCell ref="B19:D19"/>
    <mergeCell ref="A20:A26"/>
    <mergeCell ref="B20:C20"/>
    <mergeCell ref="B21:C21"/>
    <mergeCell ref="B22:C22"/>
    <mergeCell ref="B23:C23"/>
    <mergeCell ref="B24:C24"/>
    <mergeCell ref="B26:D26"/>
    <mergeCell ref="A27:A34"/>
    <mergeCell ref="B27:C27"/>
    <mergeCell ref="B28:C28"/>
    <mergeCell ref="B29:C29"/>
    <mergeCell ref="B30:C30"/>
    <mergeCell ref="B32:C32"/>
    <mergeCell ref="B34:D34"/>
    <mergeCell ref="B31:C31"/>
    <mergeCell ref="A35:A41"/>
    <mergeCell ref="B35:C35"/>
    <mergeCell ref="B36:C36"/>
    <mergeCell ref="B37:C37"/>
    <mergeCell ref="B38:C38"/>
    <mergeCell ref="B39:C39"/>
    <mergeCell ref="B41:D41"/>
    <mergeCell ref="A42:A48"/>
    <mergeCell ref="B42:C42"/>
    <mergeCell ref="B43:C43"/>
    <mergeCell ref="B44:C44"/>
    <mergeCell ref="B45:C45"/>
    <mergeCell ref="B46:C46"/>
    <mergeCell ref="B48:D48"/>
    <mergeCell ref="A49:A55"/>
    <mergeCell ref="B49:C49"/>
    <mergeCell ref="B50:C50"/>
    <mergeCell ref="B51:C51"/>
    <mergeCell ref="B52:C52"/>
    <mergeCell ref="B53:C53"/>
    <mergeCell ref="B55:D55"/>
    <mergeCell ref="A56:A62"/>
    <mergeCell ref="B56:C56"/>
    <mergeCell ref="B57:C57"/>
    <mergeCell ref="B58:C58"/>
    <mergeCell ref="B59:C59"/>
    <mergeCell ref="B60:C60"/>
    <mergeCell ref="B62:D62"/>
    <mergeCell ref="A63:A69"/>
    <mergeCell ref="B63:C63"/>
    <mergeCell ref="B64:C64"/>
    <mergeCell ref="B65:C65"/>
    <mergeCell ref="B66:C66"/>
    <mergeCell ref="B67:C67"/>
    <mergeCell ref="B69:D69"/>
    <mergeCell ref="A70:A76"/>
    <mergeCell ref="B70:C70"/>
    <mergeCell ref="B71:C71"/>
    <mergeCell ref="B72:C72"/>
    <mergeCell ref="B73:C73"/>
    <mergeCell ref="B74:C74"/>
    <mergeCell ref="B76:D76"/>
    <mergeCell ref="A85:D85"/>
    <mergeCell ref="A77:A83"/>
    <mergeCell ref="B77:C77"/>
    <mergeCell ref="B78:C78"/>
    <mergeCell ref="B79:C79"/>
    <mergeCell ref="B80:C80"/>
    <mergeCell ref="B81:C81"/>
    <mergeCell ref="B83:D83"/>
  </mergeCells>
  <conditionalFormatting sqref="D6:D11 D46:D47 D42:D44">
    <cfRule type="containsText" dxfId="21" priority="23" operator="containsText" text="Terminé">
      <formula>NOT(ISERROR(SEARCH("Terminé",D6)))</formula>
    </cfRule>
    <cfRule type="containsText" dxfId="20" priority="24" operator="containsText" text="En cours">
      <formula>NOT(ISERROR(SEARCH("En cours",D6)))</formula>
    </cfRule>
  </conditionalFormatting>
  <conditionalFormatting sqref="D13:D18">
    <cfRule type="containsText" dxfId="19" priority="21" operator="containsText" text="Terminé">
      <formula>NOT(ISERROR(SEARCH("Terminé",D13)))</formula>
    </cfRule>
    <cfRule type="containsText" dxfId="18" priority="22" operator="containsText" text="En cours">
      <formula>NOT(ISERROR(SEARCH("En cours",D13)))</formula>
    </cfRule>
  </conditionalFormatting>
  <conditionalFormatting sqref="D20:D25">
    <cfRule type="containsText" dxfId="17" priority="3" operator="containsText" text="Terminé">
      <formula>NOT(ISERROR(SEARCH("Terminé",D20)))</formula>
    </cfRule>
    <cfRule type="containsText" dxfId="16" priority="4" operator="containsText" text="En cours">
      <formula>NOT(ISERROR(SEARCH("En cours",D20)))</formula>
    </cfRule>
  </conditionalFormatting>
  <conditionalFormatting sqref="D27:D33">
    <cfRule type="containsText" dxfId="15" priority="19" operator="containsText" text="Terminé">
      <formula>NOT(ISERROR(SEARCH("Terminé",D27)))</formula>
    </cfRule>
    <cfRule type="containsText" dxfId="14" priority="20" operator="containsText" text="En cours">
      <formula>NOT(ISERROR(SEARCH("En cours",D27)))</formula>
    </cfRule>
  </conditionalFormatting>
  <conditionalFormatting sqref="D35:D40">
    <cfRule type="containsText" dxfId="13" priority="17" operator="containsText" text="Terminé">
      <formula>NOT(ISERROR(SEARCH("Terminé",D35)))</formula>
    </cfRule>
    <cfRule type="containsText" dxfId="12" priority="18" operator="containsText" text="En cours">
      <formula>NOT(ISERROR(SEARCH("En cours",D35)))</formula>
    </cfRule>
  </conditionalFormatting>
  <conditionalFormatting sqref="D49:D54">
    <cfRule type="containsText" dxfId="11" priority="7" operator="containsText" text="Terminé">
      <formula>NOT(ISERROR(SEARCH("Terminé",D49)))</formula>
    </cfRule>
    <cfRule type="containsText" dxfId="10" priority="8" operator="containsText" text="En cours">
      <formula>NOT(ISERROR(SEARCH("En cours",D49)))</formula>
    </cfRule>
  </conditionalFormatting>
  <conditionalFormatting sqref="D56:D61">
    <cfRule type="containsText" dxfId="9" priority="5" operator="containsText" text="Terminé">
      <formula>NOT(ISERROR(SEARCH("Terminé",D56)))</formula>
    </cfRule>
    <cfRule type="containsText" dxfId="8" priority="6" operator="containsText" text="En cours">
      <formula>NOT(ISERROR(SEARCH("En cours",D56)))</formula>
    </cfRule>
  </conditionalFormatting>
  <conditionalFormatting sqref="D63:D68">
    <cfRule type="containsText" dxfId="7" priority="15" operator="containsText" text="Terminé">
      <formula>NOT(ISERROR(SEARCH("Terminé",D63)))</formula>
    </cfRule>
    <cfRule type="containsText" dxfId="6" priority="16" operator="containsText" text="En cours">
      <formula>NOT(ISERROR(SEARCH("En cours",D63)))</formula>
    </cfRule>
  </conditionalFormatting>
  <conditionalFormatting sqref="D70:D75">
    <cfRule type="containsText" dxfId="5" priority="13" operator="containsText" text="Terminé">
      <formula>NOT(ISERROR(SEARCH("Terminé",D70)))</formula>
    </cfRule>
    <cfRule type="containsText" dxfId="4" priority="14" operator="containsText" text="En cours">
      <formula>NOT(ISERROR(SEARCH("En cours",D70)))</formula>
    </cfRule>
  </conditionalFormatting>
  <conditionalFormatting sqref="D77:D82">
    <cfRule type="containsText" dxfId="3" priority="11" operator="containsText" text="Terminé">
      <formula>NOT(ISERROR(SEARCH("Terminé",D77)))</formula>
    </cfRule>
    <cfRule type="containsText" dxfId="2" priority="12" operator="containsText" text="En cours">
      <formula>NOT(ISERROR(SEARCH("En cours",D77)))</formula>
    </cfRule>
  </conditionalFormatting>
  <conditionalFormatting sqref="D84">
    <cfRule type="containsText" dxfId="1" priority="1" operator="containsText" text="Terminé">
      <formula>NOT(ISERROR(SEARCH("Terminé",D84)))</formula>
    </cfRule>
    <cfRule type="containsText" dxfId="0" priority="2" operator="containsText" text="En cours">
      <formula>NOT(ISERROR(SEARCH("En cours",D84)))</formula>
    </cfRule>
  </conditionalFormatting>
  <printOptions horizontalCentered="1"/>
  <pageMargins left="0.47244094488188981" right="0.15748031496062992" top="1.4566929133858268" bottom="0.43307086614173229" header="0.31496062992125984" footer="0.19685039370078741"/>
  <pageSetup paperSize="9" orientation="portrait" r:id="rId1"/>
  <headerFooter alignWithMargins="0">
    <oddHeader>&amp;L&amp;"Arial,Gras"&amp;14Informaticien/-ne CFC&amp;"Arial,Normal"&amp;10
Travail pratique individuel 2023 (TPI)&amp;R&amp;"Arial,Gras"&amp;14&amp;G</oddHeader>
    <oddFooter>&amp;L&amp;8&amp;F&amp;R&amp;8Page &amp;P/&amp;N</oddFooter>
  </headerFooter>
  <rowBreaks count="2" manualBreakCount="2">
    <brk id="48" max="16383" man="1"/>
    <brk id="84" max="3" man="1"/>
  </rowBreaks>
  <legacyDrawingHF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afaa137-8a18-4908-97f4-35fc924e5a91">
      <Terms xmlns="http://schemas.microsoft.com/office/infopath/2007/PartnerControls"/>
    </lcf76f155ced4ddcb4097134ff3c332f>
    <TaxCatchAll xmlns="3b60234b-33e6-42ae-ae88-ba7d4a3eedfd"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BD0882D7B13D249A8B88997E24B9140" ma:contentTypeVersion="14" ma:contentTypeDescription="Crée un document." ma:contentTypeScope="" ma:versionID="3865b25f2bf2a035dbe7787239b3f11c">
  <xsd:schema xmlns:xsd="http://www.w3.org/2001/XMLSchema" xmlns:xs="http://www.w3.org/2001/XMLSchema" xmlns:p="http://schemas.microsoft.com/office/2006/metadata/properties" xmlns:ns2="8afaa137-8a18-4908-97f4-35fc924e5a91" xmlns:ns3="3b60234b-33e6-42ae-ae88-ba7d4a3eedfd" targetNamespace="http://schemas.microsoft.com/office/2006/metadata/properties" ma:root="true" ma:fieldsID="718f9f7ddd2530d56a17ab9424d0abda" ns2:_="" ns3:_="">
    <xsd:import namespace="8afaa137-8a18-4908-97f4-35fc924e5a91"/>
    <xsd:import namespace="3b60234b-33e6-42ae-ae88-ba7d4a3eedf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2:MediaLengthInSeconds" minOccurs="0"/>
                <xsd:element ref="ns2:MediaServiceDateTaken" minOccurs="0"/>
                <xsd:element ref="ns2:MediaServiceLocation" minOccurs="0"/>
                <xsd:element ref="ns2:lcf76f155ced4ddcb4097134ff3c332f" minOccurs="0"/>
                <xsd:element ref="ns3:TaxCatchAll"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afaa137-8a18-4908-97f4-35fc924e5a9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Location" ma:index="16" nillable="true" ma:displayName="Location" ma:indexed="true" ma:internalName="MediaServiceLocation" ma:readOnly="true">
      <xsd:simpleType>
        <xsd:restriction base="dms:Text"/>
      </xsd:simpleType>
    </xsd:element>
    <xsd:element name="lcf76f155ced4ddcb4097134ff3c332f" ma:index="18" nillable="true" ma:taxonomy="true" ma:internalName="lcf76f155ced4ddcb4097134ff3c332f" ma:taxonomyFieldName="MediaServiceImageTags" ma:displayName="Balises d’images" ma:readOnly="false" ma:fieldId="{5cf76f15-5ced-4ddc-b409-7134ff3c332f}" ma:taxonomyMulti="true" ma:sspId="fbd933d8-63e4-4f7e-90f6-66429bb13b47"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b60234b-33e6-42ae-ae88-ba7d4a3eedfd"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de1ad492-b571-416b-b6e8-cea3505811d7}" ma:internalName="TaxCatchAll" ma:showField="CatchAllData" ma:web="3b60234b-33e6-42ae-ae88-ba7d4a3eedf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8C0AFF7-6D45-4588-A3CE-0506D82134A8}">
  <ds:schemaRefs>
    <ds:schemaRef ds:uri="http://schemas.microsoft.com/sharepoint/v3/contenttype/forms"/>
  </ds:schemaRefs>
</ds:datastoreItem>
</file>

<file path=customXml/itemProps2.xml><?xml version="1.0" encoding="utf-8"?>
<ds:datastoreItem xmlns:ds="http://schemas.openxmlformats.org/officeDocument/2006/customXml" ds:itemID="{F1CED954-0C0B-4246-88BC-C0C5C061E08E}">
  <ds:schemaRefs>
    <ds:schemaRef ds:uri="http://schemas.openxmlformats.org/package/2006/metadata/core-properties"/>
    <ds:schemaRef ds:uri="3b60234b-33e6-42ae-ae88-ba7d4a3eedfd"/>
    <ds:schemaRef ds:uri="http://purl.org/dc/elements/1.1/"/>
    <ds:schemaRef ds:uri="http://www.w3.org/XML/1998/namespace"/>
    <ds:schemaRef ds:uri="http://schemas.microsoft.com/office/2006/documentManagement/types"/>
    <ds:schemaRef ds:uri="http://purl.org/dc/terms/"/>
    <ds:schemaRef ds:uri="http://purl.org/dc/dcmitype/"/>
    <ds:schemaRef ds:uri="http://schemas.microsoft.com/office/infopath/2007/PartnerControls"/>
    <ds:schemaRef ds:uri="8afaa137-8a18-4908-97f4-35fc924e5a91"/>
    <ds:schemaRef ds:uri="http://schemas.microsoft.com/office/2006/metadata/properties"/>
  </ds:schemaRefs>
</ds:datastoreItem>
</file>

<file path=customXml/itemProps3.xml><?xml version="1.0" encoding="utf-8"?>
<ds:datastoreItem xmlns:ds="http://schemas.openxmlformats.org/officeDocument/2006/customXml" ds:itemID="{84AEF82B-2BAE-481D-A319-B09ADD6915E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afaa137-8a18-4908-97f4-35fc924e5a91"/>
    <ds:schemaRef ds:uri="3b60234b-33e6-42ae-ae88-ba7d4a3eedf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4" baseType="variant">
      <vt:variant>
        <vt:lpstr>Feuilles de calcul</vt:lpstr>
      </vt:variant>
      <vt:variant>
        <vt:i4>1</vt:i4>
      </vt:variant>
      <vt:variant>
        <vt:lpstr>Plages nommées</vt:lpstr>
      </vt:variant>
      <vt:variant>
        <vt:i4>2</vt:i4>
      </vt:variant>
    </vt:vector>
  </HeadingPairs>
  <TitlesOfParts>
    <vt:vector size="3" baseType="lpstr">
      <vt:lpstr>Journal Gabriel</vt:lpstr>
      <vt:lpstr>'Journal Gabriel'!Impression_des_titres</vt:lpstr>
      <vt:lpstr>'Journal Gabriel'!Zone_d_impression</vt:lpstr>
    </vt:vector>
  </TitlesOfParts>
  <Company>EMF</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Guisolan Christian</dc:creator>
  <cp:lastModifiedBy>Beer Gabriel</cp:lastModifiedBy>
  <cp:lastPrinted>2022-01-05T15:16:39Z</cp:lastPrinted>
  <dcterms:created xsi:type="dcterms:W3CDTF">2002-03-11T12:50:08Z</dcterms:created>
  <dcterms:modified xsi:type="dcterms:W3CDTF">2026-01-12T20:02:10Z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0x0101006BD0882D7B13D249A8B88997E24B9140</vt:lpwstr>
  </property>
  <property fmtid="{D5CDD505-2E9C-101B-9397-08002B2CF9AE}" pid="3" name="MediaServiceImageTags">
    <vt:lpwstr/>
  </property>
</Properties>
</file>